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/>
  </bookViews>
  <sheets>
    <sheet name="Area De Trabajo" sheetId="1" r:id="rId1"/>
    <sheet name="Servicios y Productos" sheetId="4" r:id="rId2"/>
    <sheet name="Resumen Factura" sheetId="5" r:id="rId3"/>
    <sheet name="Totales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4" i="3"/>
  <c r="C3" i="3"/>
  <c r="C2" i="3"/>
</calcChain>
</file>

<file path=xl/sharedStrings.xml><?xml version="1.0" encoding="utf-8"?>
<sst xmlns="http://schemas.openxmlformats.org/spreadsheetml/2006/main" count="62" uniqueCount="45">
  <si>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</si>
  <si>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</si>
  <si>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</si>
  <si>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</si>
  <si>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</si>
  <si>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</si>
  <si>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</si>
  <si>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</si>
  <si>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</si>
  <si>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</si>
  <si>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</si>
  <si>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</si>
  <si>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</si>
  <si>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</si>
  <si>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</si>
  <si>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</si>
  <si>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</si>
  <si>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Cantidad De Facturas</t>
  </si>
  <si>
    <t>TotalGravado</t>
  </si>
  <si>
    <t>TotaExento</t>
  </si>
  <si>
    <t>TotalExonerado</t>
  </si>
  <si>
    <t>Total Exento</t>
  </si>
  <si>
    <t>Total Exonerado</t>
  </si>
  <si>
    <t>Total Descuento</t>
  </si>
  <si>
    <t>Numero Consecutivo</t>
  </si>
  <si>
    <t>Consecutivo</t>
  </si>
  <si>
    <t>UnidadMedida</t>
  </si>
  <si>
    <t>Cantidad</t>
  </si>
  <si>
    <t>Detalle</t>
  </si>
  <si>
    <t>SubTotal</t>
  </si>
  <si>
    <t>Detalles de Servicios</t>
  </si>
  <si>
    <t>00100001010000000027</t>
  </si>
  <si>
    <t>Roy Rojas</t>
  </si>
  <si>
    <t>01#111213145</t>
  </si>
  <si>
    <t>A Diaz</t>
  </si>
  <si>
    <t>01#100445566</t>
  </si>
  <si>
    <t>Precio Unitario</t>
  </si>
  <si>
    <t>Monto Total</t>
  </si>
  <si>
    <t>Naturaleza Del Descuento</t>
  </si>
  <si>
    <t>Monto Descuento</t>
  </si>
  <si>
    <t>Monto Impuesto</t>
  </si>
  <si>
    <t>Impuesto Neto</t>
  </si>
  <si>
    <t>Monto Total Linea</t>
  </si>
  <si>
    <t>Naturaleza Descuento</t>
  </si>
  <si>
    <t>Tarifa 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</si>
</sst>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0" xfId="0" applyFont="1" applyFill="1" applyAlignment="1"/>
    <xf numFmtId="0" fontId="0" fillId="0" borderId="3" xfId="0" applyBorder="1"/>
    <xf numFmtId="0" fontId="1" fillId="2" borderId="0" xfId="0" applyFont="1" applyFill="1" applyBorder="1"/>
    <xf numFmtId="49" fontId="0" fillId="0" borderId="0" xfId="0" applyNumberFormat="1"/>
    <xf numFmtId="49" fontId="1" fillId="5" borderId="4" xfId="0" applyNumberFormat="1" applyFont="1" applyFill="1" applyBorder="1"/>
    <xf numFmtId="0" fontId="0" fillId="5" borderId="0" xfId="0" applyFill="1"/>
    <xf numFmtId="0" fontId="0" fillId="4" borderId="0" xfId="0" applyFill="1"/>
    <xf numFmtId="0" fontId="0" fillId="2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14" fontId="0" fillId="0" borderId="0" xfId="0" applyNumberFormat="1"/>
    <xf numFmtId="0" fontId="2" fillId="2" borderId="2" xfId="0" applyFont="1" applyFill="1" applyBorder="1"/>
    <xf numFmtId="49" fontId="0" fillId="3" borderId="5" xfId="0" applyNumberFormat="1" applyFont="1" applyFill="1" applyBorder="1"/>
    <xf numFmtId="0" fontId="0" fillId="3" borderId="5" xfId="0" applyFont="1" applyFill="1" applyBorder="1"/>
    <xf numFmtId="14" fontId="0" fillId="3" borderId="5" xfId="0" applyNumberFormat="1" applyFont="1" applyFill="1" applyBorder="1"/>
    <xf numFmtId="0" fontId="0" fillId="9" borderId="0" xfId="0" applyFill="1"/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theme="0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  <vertical/>
        <horizontal/>
      </border>
    </dxf>
    <dxf>
      <border outline="0">
        <top style="thin">
          <color theme="1"/>
        </top>
      </border>
    </dxf>
    <dxf>
      <border outline="0">
        <top style="thin">
          <color theme="0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90</xdr:row>
      <xdr:rowOff>133350</xdr:rowOff>
    </xdr:from>
    <xdr:to>
      <xdr:col>11</xdr:col>
      <xdr:colOff>114300</xdr:colOff>
      <xdr:row>111</xdr:row>
      <xdr:rowOff>142875</xdr:rowOff>
    </xdr:to>
    <xdr:sp macro="" textlink="">
      <xdr:nvSpPr>
        <xdr:cNvPr id="2" name="CuadroTexto 1"/>
        <xdr:cNvSpPr txBox="1"/>
      </xdr:nvSpPr>
      <xdr:spPr>
        <a:xfrm>
          <a:off x="7905750" y="17278350"/>
          <a:ext cx="4305300" cy="401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Area</a:t>
          </a:r>
          <a:r>
            <a:rPr lang="es-MX" sz="1100" baseline="0"/>
            <a:t> reservado para el trabajo de bots, gatos y loas.</a:t>
          </a:r>
        </a:p>
        <a:p>
          <a:r>
            <a:rPr lang="es-MX" sz="1100" baseline="0"/>
            <a:t>Humanos tocar bajo su propio riesgo</a:t>
          </a:r>
        </a:p>
        <a:p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id="4" name="Tabla4" displayName="Tabla4" ref="A1:N2" totalsRowShown="0">
  <autoFilter ref="A1:N2"/>
  <tableColumns count="14">
    <tableColumn id="1" name="Numero Consecutivo"/>
    <tableColumn id="2" name="Nombre Emisor"/>
    <tableColumn id="3" name="UnidadMedida"/>
    <tableColumn id="4" name="Detalle"/>
    <tableColumn id="5" name="Cantidad"/>
    <tableColumn id="7" name="Precio Unitario"/>
    <tableColumn id="8" name="Monto Total"/>
    <tableColumn id="9" name="Naturaleza Descuento"/>
    <tableColumn id="10" name="Monto Descuento"/>
    <tableColumn id="11" name="SubTotal"/>
    <tableColumn id="12" name="Tarifa Impuesto"/>
    <tableColumn id="13" name="Monto Impuesto"/>
    <tableColumn id="14" name="Impuesto Neto"/>
    <tableColumn id="15" name="Monto Total Lin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ResumenFactura" displayName="TablaResumenFactura" ref="A1:M2" totalsRowShown="0" headerRowDxfId="17" dataDxfId="15" headerRowBorderDxfId="16" tableBorderDxfId="14" totalsRowBorderDxfId="13">
  <autoFilter ref="A1:M2"/>
  <tableColumns count="13">
    <tableColumn id="1" name="Numero Consecutivo" dataDxfId="12"/>
    <tableColumn id="2" name="Nombre Emisor" dataDxfId="11"/>
    <tableColumn id="3" name="Id Emisor" dataDxfId="10"/>
    <tableColumn id="4" name="Nombre Receptor" dataDxfId="9"/>
    <tableColumn id="5" name="IdReceptor" dataDxfId="8"/>
    <tableColumn id="6" name="Total Impuesto" dataDxfId="7"/>
    <tableColumn id="7" name="Total Venta Neta" dataDxfId="6"/>
    <tableColumn id="8" name="TotalGravado" dataDxfId="5"/>
    <tableColumn id="9" name="Total Exento" dataDxfId="4"/>
    <tableColumn id="10" name="Total Exonerado" dataDxfId="3"/>
    <tableColumn id="11" name="Total Descuento" dataDxfId="2"/>
    <tableColumn id="12" name="Total Comprobante" dataDxfId="1"/>
    <tableColumn id="13" name="Fech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D112"/>
  <sheetViews>
    <sheetView tabSelected="1" topLeftCell="A91" workbookViewId="0">
      <selection activeCell="D110" sqref="D100:D110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4" x14ac:dyDescent="0.25">
      <c r="A99" s="3" t="s">
        <v>16</v>
      </c>
      <c r="B99" s="3"/>
      <c r="D99" s="13" t="s">
        <v>30</v>
      </c>
    </row>
    <row r="100" spans="1:4" x14ac:dyDescent="0.25">
      <c r="A100" t="s">
        <v>25</v>
      </c>
      <c r="B100" s="6" t="s">
        <v>31</v>
      </c>
      <c r="D100" s="19" t="s">
        <v>26</v>
      </c>
    </row>
    <row r="101" spans="1:4" x14ac:dyDescent="0.25">
      <c r="A101" s="2" t="s">
        <v>0</v>
      </c>
      <c r="B101" t="s">
        <v>32</v>
      </c>
      <c r="D101" s="19" t="s">
        <v>28</v>
      </c>
    </row>
    <row r="102" spans="1:4" x14ac:dyDescent="0.25">
      <c r="A102" s="2" t="s">
        <v>1</v>
      </c>
      <c r="B102" t="s">
        <v>33</v>
      </c>
      <c r="D102" s="19" t="s">
        <v>27</v>
      </c>
    </row>
    <row r="103" spans="1:4" x14ac:dyDescent="0.25">
      <c r="A103" s="2" t="s">
        <v>2</v>
      </c>
      <c r="B103" t="s">
        <v>34</v>
      </c>
      <c r="D103" s="19" t="s">
        <v>36</v>
      </c>
    </row>
    <row r="104" spans="1:4" x14ac:dyDescent="0.25">
      <c r="A104" s="2" t="s">
        <v>3</v>
      </c>
      <c r="B104" t="s">
        <v>35</v>
      </c>
      <c r="D104" s="19" t="s">
        <v>37</v>
      </c>
    </row>
    <row r="105" spans="1:4" x14ac:dyDescent="0.25">
      <c r="A105" s="2" t="s">
        <v>4</v>
      </c>
      <c r="B105">
        <v>257.39999999999998</v>
      </c>
      <c r="D105" s="19" t="s">
        <v>38</v>
      </c>
    </row>
    <row r="106" spans="1:4" x14ac:dyDescent="0.25">
      <c r="A106" s="2" t="s">
        <v>5</v>
      </c>
      <c r="B106">
        <v>11980</v>
      </c>
      <c r="D106" s="19" t="s">
        <v>39</v>
      </c>
    </row>
    <row r="107" spans="1:4" x14ac:dyDescent="0.25">
      <c r="A107" s="1" t="s">
        <v>18</v>
      </c>
      <c r="B107">
        <v>2000</v>
      </c>
      <c r="D107" s="19" t="s">
        <v>29</v>
      </c>
    </row>
    <row r="108" spans="1:4" x14ac:dyDescent="0.25">
      <c r="A108" s="1" t="s">
        <v>19</v>
      </c>
      <c r="B108">
        <v>10000</v>
      </c>
      <c r="D108" s="19" t="s">
        <v>40</v>
      </c>
    </row>
    <row r="109" spans="1:4" x14ac:dyDescent="0.25">
      <c r="A109" s="1" t="s">
        <v>20</v>
      </c>
      <c r="B109">
        <v>0</v>
      </c>
      <c r="D109" s="19" t="s">
        <v>41</v>
      </c>
    </row>
    <row r="110" spans="1:4" x14ac:dyDescent="0.25">
      <c r="A110" s="5" t="s">
        <v>23</v>
      </c>
      <c r="B110">
        <v>20</v>
      </c>
      <c r="D110" s="19" t="s">
        <v>42</v>
      </c>
    </row>
    <row r="111" spans="1:4" x14ac:dyDescent="0.25">
      <c r="A111" s="2" t="s">
        <v>6</v>
      </c>
      <c r="B111">
        <v>12237.4</v>
      </c>
    </row>
    <row r="112" spans="1:4" x14ac:dyDescent="0.25">
      <c r="A112" s="2" t="s">
        <v>7</v>
      </c>
      <c r="B112" s="14">
        <v>43691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1"/>
  <sheetViews>
    <sheetView workbookViewId="0"/>
  </sheetViews>
  <sheetFormatPr baseColWidth="10" defaultRowHeight="15" x14ac:dyDescent="0.25"/>
  <cols>
    <col min="1" max="1" width="37.140625" customWidth="1"/>
    <col min="2" max="2" width="23.5703125" customWidth="1"/>
    <col min="3" max="3" width="22.42578125" customWidth="1"/>
    <col min="4" max="4" width="28" customWidth="1"/>
    <col min="5" max="5" width="21.5703125" customWidth="1"/>
    <col min="6" max="6" width="30.85546875" customWidth="1"/>
    <col min="7" max="7" width="28.5703125" customWidth="1"/>
    <col min="8" max="8" width="23.85546875" customWidth="1"/>
    <col min="9" max="9" width="26.5703125" customWidth="1"/>
    <col min="10" max="10" width="18.42578125" customWidth="1"/>
    <col min="11" max="11" width="28.140625" customWidth="1"/>
    <col min="12" max="12" width="19.28515625" customWidth="1"/>
    <col min="13" max="13" width="22.85546875" customWidth="1"/>
    <col min="14" max="14" width="22" customWidth="1"/>
    <col min="15" max="15" width="23.7109375" customWidth="1"/>
  </cols>
  <sheetData>
    <row r="1" spans="1:14" ht="15.75" thickBot="1" x14ac:dyDescent="0.3">
      <c r="A1" s="7" t="s">
        <v>24</v>
      </c>
      <c r="B1" s="8" t="s">
        <v>15</v>
      </c>
      <c r="C1" s="13" t="s">
        <v>26</v>
      </c>
      <c r="D1" s="13" t="s">
        <v>28</v>
      </c>
      <c r="E1" s="9" t="s">
        <v>27</v>
      </c>
      <c r="F1" s="9" t="s">
        <v>36</v>
      </c>
      <c r="G1" s="9" t="s">
        <v>37</v>
      </c>
      <c r="H1" s="11" t="s">
        <v>43</v>
      </c>
      <c r="I1" s="11" t="s">
        <v>39</v>
      </c>
      <c r="J1" s="11" t="s">
        <v>29</v>
      </c>
      <c r="K1" s="12" t="s">
        <v>44</v>
      </c>
      <c r="L1" s="12" t="s">
        <v>40</v>
      </c>
      <c r="M1" s="12" t="s">
        <v>41</v>
      </c>
      <c r="N1" s="10" t="s">
        <v>42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"/>
  <sheetViews>
    <sheetView workbookViewId="0">
      <selection activeCell="D4" sqref="D4"/>
    </sheetView>
  </sheetViews>
  <sheetFormatPr baseColWidth="10" defaultRowHeight="15" x14ac:dyDescent="0.25"/>
  <cols>
    <col min="1" max="1" width="35" customWidth="1"/>
    <col min="2" max="2" width="31.140625" customWidth="1"/>
    <col min="3" max="3" width="18.42578125" customWidth="1"/>
    <col min="4" max="4" width="31" customWidth="1"/>
    <col min="5" max="5" width="16.85546875" customWidth="1"/>
    <col min="6" max="6" width="19.140625" customWidth="1"/>
    <col min="7" max="7" width="18.85546875" customWidth="1"/>
    <col min="8" max="8" width="22.85546875" customWidth="1"/>
    <col min="9" max="9" width="23.85546875" customWidth="1"/>
    <col min="10" max="10" width="20.5703125" customWidth="1"/>
    <col min="11" max="11" width="17.42578125" customWidth="1"/>
    <col min="12" max="12" width="20.140625" customWidth="1"/>
    <col min="13" max="13" width="17.7109375" customWidth="1"/>
  </cols>
  <sheetData>
    <row r="1" spans="1:13" x14ac:dyDescent="0.25">
      <c r="A1" s="15" t="s">
        <v>24</v>
      </c>
      <c r="B1" s="15" t="s">
        <v>15</v>
      </c>
      <c r="C1" s="15" t="s">
        <v>1</v>
      </c>
      <c r="D1" s="15" t="s">
        <v>14</v>
      </c>
      <c r="E1" s="15" t="s">
        <v>3</v>
      </c>
      <c r="F1" s="15" t="s">
        <v>11</v>
      </c>
      <c r="G1" s="15" t="s">
        <v>12</v>
      </c>
      <c r="H1" s="15" t="s">
        <v>18</v>
      </c>
      <c r="I1" s="15" t="s">
        <v>21</v>
      </c>
      <c r="J1" s="15" t="s">
        <v>22</v>
      </c>
      <c r="K1" s="15" t="s">
        <v>23</v>
      </c>
      <c r="L1" s="15" t="s">
        <v>13</v>
      </c>
      <c r="M1" s="15" t="s">
        <v>7</v>
      </c>
    </row>
    <row r="2" spans="1:13" x14ac:dyDescent="0.25">
      <c r="A2" s="16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C5"/>
  <sheetViews>
    <sheetView workbookViewId="0">
      <selection activeCell="B25" sqref="B25:B26"/>
    </sheetView>
  </sheetViews>
  <sheetFormatPr baseColWidth="10" defaultRowHeight="15" x14ac:dyDescent="0.25"/>
  <cols>
    <col min="2" max="2" width="29.7109375" customWidth="1"/>
    <col min="3" max="3" width="21.140625" customWidth="1"/>
  </cols>
  <sheetData>
    <row r="2" spans="2:3" x14ac:dyDescent="0.25">
      <c r="B2" s="1" t="s">
        <v>8</v>
      </c>
      <c r="C2" s="4">
        <f>SUM(TablaResumenFactura[Total Venta Neta])</f>
        <v>0</v>
      </c>
    </row>
    <row r="3" spans="2:3" x14ac:dyDescent="0.25">
      <c r="B3" s="1" t="s">
        <v>9</v>
      </c>
      <c r="C3" s="4">
        <f>SUM(TablaResumenFactura[Total Impuesto])</f>
        <v>0</v>
      </c>
    </row>
    <row r="4" spans="2:3" x14ac:dyDescent="0.25">
      <c r="B4" s="1" t="s">
        <v>10</v>
      </c>
      <c r="C4" s="4">
        <f>SUM(TablaResumenFactura[Total Comprobante])</f>
        <v>0</v>
      </c>
    </row>
    <row r="5" spans="2:3" x14ac:dyDescent="0.25">
      <c r="B5" s="1" t="s">
        <v>17</v>
      </c>
      <c r="C5" s="4">
        <f>COUNTA(TablaResumenFactura[Numero Consecutivo])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Area De Trabajo</vt:lpstr>
      <vt:lpstr>Servicios y Productos</vt:lpstr>
      <vt:lpstr>Resumen Factura</vt:lpstr>
      <vt:lpstr>Totales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2019-09-30T15:50:07Z</dcterms:modified>
</cp:coreProperties>
</file>